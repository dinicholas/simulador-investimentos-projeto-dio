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dor" sheetId="1" state="visible" r:id="rId3"/>
  </sheets>
  <definedNames>
    <definedName function="false" hidden="false" name="aporte" vbProcedure="false">Simulador!$C$7</definedName>
    <definedName function="false" hidden="false" name="dividendo_mensal" vbProcedure="false">Simulador!$C$11</definedName>
    <definedName function="false" hidden="false" name="patrimonio" vbProcedure="false">Simulador!$C$10</definedName>
    <definedName function="false" hidden="false" name="quantidade_anos" vbProcedure="false">Simulador!$C$8</definedName>
    <definedName function="false" hidden="false" name="rendimento_carteira" vbProcedure="false">Simulador!$F$8</definedName>
    <definedName function="false" hidden="false" name="salario" vbProcedure="false">Simulador!$F$7</definedName>
    <definedName function="false" hidden="false" name="sugestao_investimento" vbProcedure="false">Simulador!$F$9</definedName>
    <definedName function="false" hidden="false" name="taxa_mensal" vbProcedure="false">Simulador!$C$9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2" authorId="0">
      <text>
        <r>
          <rPr>
            <sz val="10"/>
            <rFont val="Arial"/>
            <family val="2"/>
          </rPr>
          <t xml:space="preserve">Espaço reservado ao banner do projeto. Insira aqui uma imagem de cabeçalho (Inserir &gt; Imagens) e, em Propriedades da Imagem, marque 'Não mover ou dimensionar com células' para que ela não se deforme.</t>
        </r>
      </text>
    </comment>
    <comment ref="F8" authorId="0">
      <text>
        <r>
          <rPr>
            <sz val="10"/>
            <rFont val="Arial"/>
            <family val="2"/>
          </rPr>
          <t xml:space="preserve">Taxa média mensal de dividendos da carteira de FIIs (ex.: 1,00%).</t>
        </r>
      </text>
    </comment>
    <comment ref="F9" authorId="0">
      <text>
        <r>
          <rPr>
            <sz val="10"/>
            <rFont val="Arial"/>
            <family val="2"/>
          </rPr>
          <t xml:space="preserve">Regra prática: 30% do salário como aporte mensal ideal recomendado por especialistas.</t>
        </r>
      </text>
    </comment>
  </commentList>
</comments>
</file>

<file path=xl/sharedStrings.xml><?xml version="1.0" encoding="utf-8"?>
<sst xmlns="http://schemas.openxmlformats.org/spreadsheetml/2006/main" count="47" uniqueCount="40">
  <si>
    <t xml:space="preserve">SIMULADOR DE INVESTIMENTOS EM FUNDOS IMOBILIÁRIOS (FIIs)</t>
  </si>
  <si>
    <t xml:space="preserve">Simulador de Patrimônio</t>
  </si>
  <si>
    <t xml:space="preserve">Configurações Globais</t>
  </si>
  <si>
    <t xml:space="preserve">Aporte Mensal (R$)</t>
  </si>
  <si>
    <t xml:space="preserve">Salário</t>
  </si>
  <si>
    <t xml:space="preserve">Anos</t>
  </si>
  <si>
    <t xml:space="preserve">Rendimento da Carteira</t>
  </si>
  <si>
    <t xml:space="preserve">Taxa Mensal (%)</t>
  </si>
  <si>
    <t xml:space="preserve">Sugestão de Investimento</t>
  </si>
  <si>
    <t xml:space="preserve">Patrimônio Acumulado</t>
  </si>
  <si>
    <t xml:space="preserve">Dividendo Mensal</t>
  </si>
  <si>
    <t xml:space="preserve">Simulador de Cenários de Longo Prazo</t>
  </si>
  <si>
    <t xml:space="preserve">Cenário (Anos)</t>
  </si>
  <si>
    <t xml:space="preserve">Patrimônio</t>
  </si>
  <si>
    <t xml:space="preserve">Dividendo</t>
  </si>
  <si>
    <t xml:space="preserve">anos (aux.)</t>
  </si>
  <si>
    <t xml:space="preserve">2 anos</t>
  </si>
  <si>
    <t xml:space="preserve">5 anos</t>
  </si>
  <si>
    <t xml:space="preserve">10 anos</t>
  </si>
  <si>
    <t xml:space="preserve">20 anos</t>
  </si>
  <si>
    <t xml:space="preserve">30 anos</t>
  </si>
  <si>
    <t xml:space="preserve">Perfil de Investidor e Alocação Sugerida</t>
  </si>
  <si>
    <t xml:space="preserve">Perfil de Investidor:</t>
  </si>
  <si>
    <t xml:space="preserve">Conservador</t>
  </si>
  <si>
    <t xml:space="preserve">Perfil</t>
  </si>
  <si>
    <t xml:space="preserve">Tijolo</t>
  </si>
  <si>
    <t xml:space="preserve">Papel</t>
  </si>
  <si>
    <t xml:space="preserve">Híbridos</t>
  </si>
  <si>
    <t xml:space="preserve">FOFs</t>
  </si>
  <si>
    <t xml:space="preserve">Desenvolvimento</t>
  </si>
  <si>
    <t xml:space="preserve">Hotelaria</t>
  </si>
  <si>
    <t xml:space="preserve">Moderado</t>
  </si>
  <si>
    <t xml:space="preserve">Agressivo</t>
  </si>
  <si>
    <t xml:space="preserve">Nota: percentuais de Híbridos/FOFs e Desenvolvimento/Hotelaria são uma estimativa detalhada a partir da matriz de referência do projeto (que agrupa Híbrido/FOF e não detalha Hotelaria separadamente).</t>
  </si>
  <si>
    <t xml:space="preserve">Alocação Sugerida do Aporte Mensal</t>
  </si>
  <si>
    <t xml:space="preserve">Classe de FII</t>
  </si>
  <si>
    <t xml:space="preserve">% Sugerido</t>
  </si>
  <si>
    <t xml:space="preserve">Valor a Alocar (R$)</t>
  </si>
  <si>
    <t xml:space="preserve">Total</t>
  </si>
  <si>
    <t xml:space="preserve">Legenda: edite apenas as células em verde (Aporte Mensal, Anos, Taxa Mensal, Salário, Rendimento da Carteira e Perfil de Investidor). As células cinza são calculadas automaticamente e não devem ser editadas.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</si>
</sst>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0"/>
    <numFmt numFmtId="167" formatCode="0.00%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1F7A4D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sz val="8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7A4D"/>
        <bgColor rgb="FF008080"/>
      </patternFill>
    </fill>
    <fill>
      <patternFill patternType="solid">
        <fgColor rgb="FFC77C2E"/>
        <bgColor rgb="FFFF9900"/>
      </patternFill>
    </fill>
    <fill>
      <patternFill patternType="solid">
        <fgColor rgb="FFF2F2F2"/>
        <bgColor rgb="FFE5F3EC"/>
      </patternFill>
    </fill>
    <fill>
      <patternFill patternType="solid">
        <fgColor rgb="FFE5F3EC"/>
        <bgColor rgb="FFF2F2F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>
        <color rgb="FF1A1A1A"/>
      </left>
      <right style="thin">
        <color rgb="FFD9D9D9"/>
      </right>
      <top style="medium">
        <color rgb="FF1A1A1A"/>
      </top>
      <bottom style="thin">
        <color rgb="FFD9D9D9"/>
      </bottom>
      <diagonal/>
    </border>
    <border diagonalUp="false" diagonalDown="false">
      <left style="thin">
        <color rgb="FFD9D9D9"/>
      </left>
      <right style="medium">
        <color rgb="FF1A1A1A"/>
      </right>
      <top style="medium">
        <color rgb="FF1A1A1A"/>
      </top>
      <bottom style="thin">
        <color rgb="FFD9D9D9"/>
      </bottom>
      <diagonal/>
    </border>
    <border diagonalUp="false" diagonalDown="false">
      <left style="medium">
        <color rgb="FF1A1A1A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medium">
        <color rgb="FF1A1A1A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1A1A1A"/>
      </left>
      <right style="thin">
        <color rgb="FFD9D9D9"/>
      </right>
      <top style="thin">
        <color rgb="FFD9D9D9"/>
      </top>
      <bottom style="medium">
        <color rgb="FF1A1A1A"/>
      </bottom>
      <diagonal/>
    </border>
    <border diagonalUp="false" diagonalDown="false">
      <left style="thin">
        <color rgb="FFD9D9D9"/>
      </left>
      <right style="medium">
        <color rgb="FF1A1A1A"/>
      </right>
      <top style="thin">
        <color rgb="FFD9D9D9"/>
      </top>
      <bottom style="medium">
        <color rgb="FF1A1A1A"/>
      </bottom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1A1A1A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1A1A1A"/>
      </bottom>
      <diagonal/>
    </border>
    <border diagonalUp="false" diagonalDown="false">
      <left style="medium">
        <color rgb="FF1A1A1A"/>
      </left>
      <right style="thin">
        <color rgb="FFD9D9D9"/>
      </right>
      <top style="medium">
        <color rgb="FF1A1A1A"/>
      </top>
      <bottom style="medium">
        <color rgb="FF1A1A1A"/>
      </bottom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1A1A1A"/>
      </top>
      <bottom style="medium">
        <color rgb="FF1A1A1A"/>
      </bottom>
      <diagonal/>
    </border>
    <border diagonalUp="false" diagonalDown="false">
      <left style="thin">
        <color rgb="FFD9D9D9"/>
      </left>
      <right style="medium">
        <color rgb="FF1A1A1A"/>
      </right>
      <top style="medium">
        <color rgb="FF1A1A1A"/>
      </top>
      <bottom style="medium">
        <color rgb="FF1A1A1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8" fillId="0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8" fillId="0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8" fillId="0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9" fillId="4" borderId="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9" fillId="4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9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9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8" fillId="4" borderId="8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2" fillId="2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7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8" fontId="9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1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9" fillId="5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5" borderId="1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C0C0C0"/>
      <rgbColor rgb="FF808080"/>
      <rgbColor rgb="FF9999FF"/>
      <rgbColor rgb="FF993366"/>
      <rgbColor rgb="FFF2F2F2"/>
      <rgbColor rgb="FFE5F3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77C2E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F14" activeCellId="0" sqref="F14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18"/>
    <col collapsed="false" customWidth="true" hidden="false" outlineLevel="0" max="5" min="5" style="1" width="23.37"/>
    <col collapsed="false" customWidth="true" hidden="false" outlineLevel="0" max="6" min="6" style="1" width="30"/>
    <col collapsed="false" customWidth="true" hidden="false" outlineLevel="0" max="7" min="7" style="1" width="18"/>
    <col collapsed="false" customWidth="true" hidden="false" outlineLevel="0" max="8" min="8" style="1" width="14.7"/>
    <col collapsed="false" customWidth="true" hidden="false" outlineLevel="0" max="9" min="9" style="1" width="13"/>
    <col collapsed="false" customWidth="true" hidden="true" outlineLevel="0" max="16" min="10" style="1" width="13"/>
  </cols>
  <sheetData>
    <row r="2" customFormat="false" ht="13.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13.5" hidden="false" customHeight="true" outlineLevel="0" collapsed="false">
      <c r="B3" s="2"/>
      <c r="C3" s="2"/>
      <c r="D3" s="2"/>
      <c r="E3" s="2"/>
      <c r="F3" s="2"/>
      <c r="G3" s="2"/>
    </row>
    <row r="4" customFormat="false" ht="13.5" hidden="false" customHeight="true" outlineLevel="0" collapsed="false">
      <c r="B4" s="2"/>
      <c r="C4" s="2"/>
      <c r="D4" s="2"/>
      <c r="E4" s="2"/>
      <c r="F4" s="2"/>
      <c r="G4" s="2"/>
    </row>
    <row r="6" customFormat="false" ht="25.5" hidden="false" customHeight="true" outlineLevel="0" collapsed="false">
      <c r="B6" s="3" t="s">
        <v>1</v>
      </c>
      <c r="C6" s="3"/>
      <c r="E6" s="4" t="s">
        <v>2</v>
      </c>
      <c r="F6" s="4"/>
    </row>
    <row r="7" customFormat="false" ht="15" hidden="false" customHeight="false" outlineLevel="0" collapsed="false">
      <c r="B7" s="5" t="s">
        <v>3</v>
      </c>
      <c r="C7" s="6" t="n">
        <v>300</v>
      </c>
      <c r="E7" s="5" t="s">
        <v>4</v>
      </c>
      <c r="F7" s="6" t="n">
        <v>2000</v>
      </c>
    </row>
    <row r="8" customFormat="false" ht="15" hidden="false" customHeight="false" outlineLevel="0" collapsed="false">
      <c r="B8" s="7" t="s">
        <v>5</v>
      </c>
      <c r="C8" s="8" t="n">
        <v>10</v>
      </c>
      <c r="E8" s="7" t="s">
        <v>6</v>
      </c>
      <c r="F8" s="9" t="n">
        <v>0.01</v>
      </c>
    </row>
    <row r="9" customFormat="false" ht="15" hidden="false" customHeight="false" outlineLevel="0" collapsed="false">
      <c r="B9" s="7" t="s">
        <v>7</v>
      </c>
      <c r="C9" s="9" t="n">
        <v>0.01</v>
      </c>
      <c r="E9" s="10" t="s">
        <v>8</v>
      </c>
      <c r="F9" s="11" t="n">
        <f aca="false">salario*30%</f>
        <v>600</v>
      </c>
    </row>
    <row r="10" customFormat="false" ht="15" hidden="false" customHeight="false" outlineLevel="0" collapsed="false">
      <c r="B10" s="7" t="s">
        <v>9</v>
      </c>
      <c r="C10" s="12" t="n">
        <f aca="false">FV(taxa_mensal,quantidade_anos*12,-aporte)</f>
        <v>69011.6068372101</v>
      </c>
    </row>
    <row r="11" customFormat="false" ht="15" hidden="false" customHeight="false" outlineLevel="0" collapsed="false">
      <c r="B11" s="10" t="s">
        <v>10</v>
      </c>
      <c r="C11" s="11" t="n">
        <f aca="false">patrimonio*rendimento_carteira</f>
        <v>690.116068372101</v>
      </c>
    </row>
    <row r="14" customFormat="false" ht="24" hidden="false" customHeight="true" outlineLevel="0" collapsed="false">
      <c r="B14" s="13" t="s">
        <v>11</v>
      </c>
      <c r="C14" s="13"/>
      <c r="D14" s="13"/>
    </row>
    <row r="15" customFormat="false" ht="15" hidden="false" customHeight="false" outlineLevel="0" collapsed="false">
      <c r="B15" s="14" t="s">
        <v>12</v>
      </c>
      <c r="C15" s="14" t="s">
        <v>13</v>
      </c>
      <c r="D15" s="14" t="s">
        <v>14</v>
      </c>
      <c r="E15" s="15" t="s">
        <v>15</v>
      </c>
    </row>
    <row r="16" customFormat="false" ht="15" hidden="false" customHeight="false" outlineLevel="0" collapsed="false">
      <c r="B16" s="16" t="s">
        <v>16</v>
      </c>
      <c r="C16" s="17" t="n">
        <f aca="false">FV(taxa_mensal,E16*12,-aporte)</f>
        <v>8092.03945595744</v>
      </c>
      <c r="D16" s="18" t="n">
        <f aca="false">C16*rendimento_carteira</f>
        <v>80.9203945595744</v>
      </c>
      <c r="E16" s="19" t="n">
        <v>2</v>
      </c>
    </row>
    <row r="17" customFormat="false" ht="15" hidden="false" customHeight="false" outlineLevel="0" collapsed="false">
      <c r="B17" s="16" t="s">
        <v>17</v>
      </c>
      <c r="C17" s="17" t="n">
        <f aca="false">FV(taxa_mensal,E17*12,-aporte)</f>
        <v>24500.9009569227</v>
      </c>
      <c r="D17" s="18" t="n">
        <f aca="false">C17*rendimento_carteira</f>
        <v>245.009009569227</v>
      </c>
      <c r="E17" s="19" t="n">
        <v>5</v>
      </c>
    </row>
    <row r="18" customFormat="false" ht="15" hidden="false" customHeight="false" outlineLevel="0" collapsed="false">
      <c r="B18" s="16" t="s">
        <v>18</v>
      </c>
      <c r="C18" s="17" t="n">
        <f aca="false">FV(taxa_mensal,E18*12,-aporte)</f>
        <v>69011.6068372101</v>
      </c>
      <c r="D18" s="18" t="n">
        <f aca="false">C18*rendimento_carteira</f>
        <v>690.116068372101</v>
      </c>
      <c r="E18" s="19" t="n">
        <v>10</v>
      </c>
    </row>
    <row r="19" customFormat="false" ht="15" hidden="false" customHeight="false" outlineLevel="0" collapsed="false">
      <c r="B19" s="16" t="s">
        <v>19</v>
      </c>
      <c r="C19" s="17" t="n">
        <f aca="false">FV(taxa_mensal,E19*12,-aporte)</f>
        <v>296776.609616209</v>
      </c>
      <c r="D19" s="18" t="n">
        <f aca="false">C19*rendimento_carteira</f>
        <v>2967.76609616209</v>
      </c>
      <c r="E19" s="19" t="n">
        <v>20</v>
      </c>
    </row>
    <row r="20" customFormat="false" ht="15" hidden="false" customHeight="false" outlineLevel="0" collapsed="false">
      <c r="B20" s="20" t="s">
        <v>20</v>
      </c>
      <c r="C20" s="21" t="n">
        <f aca="false">FV(taxa_mensal,E20*12,-aporte)</f>
        <v>1048489.23983055</v>
      </c>
      <c r="D20" s="22" t="n">
        <f aca="false">C20*rendimento_carteira</f>
        <v>10484.8923983055</v>
      </c>
      <c r="E20" s="19" t="n">
        <v>30</v>
      </c>
    </row>
    <row r="23" customFormat="false" ht="24" hidden="false" customHeight="true" outlineLevel="0" collapsed="false">
      <c r="B23" s="13" t="s">
        <v>21</v>
      </c>
      <c r="C23" s="13"/>
      <c r="D23" s="13"/>
    </row>
    <row r="24" customFormat="false" ht="15" hidden="false" customHeight="false" outlineLevel="0" collapsed="false">
      <c r="B24" s="23" t="s">
        <v>22</v>
      </c>
      <c r="C24" s="24" t="s">
        <v>23</v>
      </c>
    </row>
    <row r="26" customFormat="false" ht="15" hidden="false" customHeight="false" outlineLevel="0" collapsed="false">
      <c r="B26" s="25" t="s">
        <v>24</v>
      </c>
      <c r="C26" s="25" t="s">
        <v>25</v>
      </c>
      <c r="D26" s="25" t="s">
        <v>26</v>
      </c>
      <c r="E26" s="25" t="s">
        <v>27</v>
      </c>
      <c r="F26" s="25" t="s">
        <v>28</v>
      </c>
      <c r="G26" s="25" t="s">
        <v>29</v>
      </c>
      <c r="H26" s="25" t="s">
        <v>30</v>
      </c>
    </row>
    <row r="27" customFormat="false" ht="15" hidden="false" customHeight="false" outlineLevel="0" collapsed="false">
      <c r="B27" s="26" t="s">
        <v>23</v>
      </c>
      <c r="C27" s="27" t="n">
        <v>0.5</v>
      </c>
      <c r="D27" s="27" t="n">
        <v>0.3</v>
      </c>
      <c r="E27" s="27" t="n">
        <v>0.1</v>
      </c>
      <c r="F27" s="27" t="n">
        <v>0.1</v>
      </c>
      <c r="G27" s="28" t="n">
        <v>0</v>
      </c>
      <c r="H27" s="27" t="n">
        <v>0</v>
      </c>
    </row>
    <row r="28" customFormat="false" ht="15" hidden="false" customHeight="false" outlineLevel="0" collapsed="false">
      <c r="B28" s="26" t="s">
        <v>31</v>
      </c>
      <c r="C28" s="27" t="n">
        <v>0.4</v>
      </c>
      <c r="D28" s="27" t="n">
        <v>0.3</v>
      </c>
      <c r="E28" s="27" t="n">
        <v>0.1</v>
      </c>
      <c r="F28" s="27" t="n">
        <v>0.1</v>
      </c>
      <c r="G28" s="28" t="n">
        <v>0.1</v>
      </c>
      <c r="H28" s="27" t="n">
        <v>0</v>
      </c>
    </row>
    <row r="29" customFormat="false" ht="15" hidden="false" customHeight="false" outlineLevel="0" collapsed="false">
      <c r="B29" s="29" t="s">
        <v>32</v>
      </c>
      <c r="C29" s="30" t="n">
        <v>0.3</v>
      </c>
      <c r="D29" s="30" t="n">
        <v>0.2</v>
      </c>
      <c r="E29" s="30" t="n">
        <v>0.1</v>
      </c>
      <c r="F29" s="30" t="n">
        <v>0.1</v>
      </c>
      <c r="G29" s="31" t="n">
        <v>0.2</v>
      </c>
      <c r="H29" s="30" t="n">
        <v>0.1</v>
      </c>
    </row>
    <row r="30" customFormat="false" ht="25.5" hidden="false" customHeight="true" outlineLevel="0" collapsed="false">
      <c r="B30" s="32" t="s">
        <v>33</v>
      </c>
      <c r="C30" s="32"/>
      <c r="D30" s="32"/>
      <c r="E30" s="32"/>
      <c r="F30" s="32"/>
      <c r="G30" s="32"/>
    </row>
    <row r="32" customFormat="false" ht="21.75" hidden="false" customHeight="true" outlineLevel="0" collapsed="false">
      <c r="B32" s="33" t="s">
        <v>34</v>
      </c>
      <c r="C32" s="33"/>
      <c r="D32" s="33"/>
    </row>
    <row r="33" customFormat="false" ht="15" hidden="false" customHeight="false" outlineLevel="0" collapsed="false">
      <c r="B33" s="14" t="s">
        <v>35</v>
      </c>
      <c r="C33" s="14" t="s">
        <v>36</v>
      </c>
      <c r="D33" s="14" t="s">
        <v>37</v>
      </c>
    </row>
    <row r="34" customFormat="false" ht="15" hidden="false" customHeight="false" outlineLevel="0" collapsed="false">
      <c r="B34" s="7" t="s">
        <v>25</v>
      </c>
      <c r="C34" s="34" t="n">
        <f aca="false">INDEX($C$27:$H$29,MATCH($C$24,$B$27:$B$29,0),MATCH(B34,$C$26:$H$26,0))</f>
        <v>0.5</v>
      </c>
      <c r="D34" s="12" t="n">
        <f aca="false">C34*aporte</f>
        <v>150</v>
      </c>
    </row>
    <row r="35" customFormat="false" ht="15" hidden="false" customHeight="false" outlineLevel="0" collapsed="false">
      <c r="B35" s="7" t="s">
        <v>26</v>
      </c>
      <c r="C35" s="34" t="n">
        <f aca="false">INDEX($C$27:$H$29,MATCH($C$24,$B$27:$B$29,0),MATCH(B35,$C$26:$H$26,0))</f>
        <v>0.3</v>
      </c>
      <c r="D35" s="12" t="n">
        <f aca="false">C35*aporte</f>
        <v>90</v>
      </c>
    </row>
    <row r="36" customFormat="false" ht="15" hidden="false" customHeight="false" outlineLevel="0" collapsed="false">
      <c r="B36" s="7" t="s">
        <v>27</v>
      </c>
      <c r="C36" s="34" t="n">
        <f aca="false">INDEX($C$27:$H$29,MATCH($C$24,$B$27:$B$29,0),MATCH(B36,$C$26:$H$26,0))</f>
        <v>0.1</v>
      </c>
      <c r="D36" s="12" t="n">
        <f aca="false">C36*aporte</f>
        <v>30</v>
      </c>
    </row>
    <row r="37" customFormat="false" ht="15" hidden="false" customHeight="false" outlineLevel="0" collapsed="false">
      <c r="B37" s="7" t="s">
        <v>28</v>
      </c>
      <c r="C37" s="34" t="n">
        <f aca="false">INDEX($C$27:$H$29,MATCH($C$24,$B$27:$B$29,0),MATCH(B37,$C$26:$H$26,0))</f>
        <v>0.1</v>
      </c>
      <c r="D37" s="12" t="n">
        <f aca="false">C37*aporte</f>
        <v>30</v>
      </c>
    </row>
    <row r="38" customFormat="false" ht="15" hidden="false" customHeight="false" outlineLevel="0" collapsed="false">
      <c r="B38" s="7" t="s">
        <v>29</v>
      </c>
      <c r="C38" s="34" t="n">
        <f aca="false">INDEX($C$27:$H$29,MATCH($C$24,$B$27:$B$29,0),MATCH(B38,$C$26:$H$26,0))</f>
        <v>0</v>
      </c>
      <c r="D38" s="12" t="n">
        <f aca="false">C38*aporte</f>
        <v>0</v>
      </c>
    </row>
    <row r="39" customFormat="false" ht="15" hidden="false" customHeight="false" outlineLevel="0" collapsed="false">
      <c r="B39" s="10" t="s">
        <v>30</v>
      </c>
      <c r="C39" s="35" t="n">
        <f aca="false">INDEX($C$27:$H$29,MATCH($C$24,$B$27:$B$29,0),MATCH(B39,$C$26:$H$26,0))</f>
        <v>0</v>
      </c>
      <c r="D39" s="11" t="n">
        <f aca="false">C39*aporte</f>
        <v>0</v>
      </c>
    </row>
    <row r="40" customFormat="false" ht="15" hidden="false" customHeight="false" outlineLevel="0" collapsed="false">
      <c r="B40" s="36" t="s">
        <v>38</v>
      </c>
      <c r="C40" s="37" t="n">
        <f aca="false">SUM(C34:C39)</f>
        <v>1</v>
      </c>
      <c r="D40" s="38" t="n">
        <f aca="false">SUM(D34:D39)</f>
        <v>300</v>
      </c>
    </row>
    <row r="43" customFormat="false" ht="27.75" hidden="false" customHeight="true" outlineLevel="0" collapsed="false">
      <c r="B43" s="39" t="s">
        <v>39</v>
      </c>
      <c r="C43" s="39"/>
      <c r="D43" s="39"/>
      <c r="E43" s="39"/>
      <c r="F43" s="39"/>
      <c r="G43" s="39"/>
    </row>
    <row r="46" customFormat="false" ht="15" hidden="true" customHeight="false" outlineLevel="0" collapsed="false"/>
    <row r="47" customFormat="false" ht="15" hidden="true" customHeight="false" outlineLevel="0" collapsed="false"/>
    <row r="48" customFormat="false" ht="15" hidden="true" customHeight="false" outlineLevel="0" collapsed="false"/>
    <row r="49" customFormat="false" ht="15" hidden="true" customHeight="false" outlineLevel="0" collapsed="false"/>
    <row r="50" customFormat="false" ht="15" hidden="true" customHeight="false" outlineLevel="0" collapsed="false"/>
    <row r="51" customFormat="false" ht="15" hidden="true" customHeight="false" outlineLevel="0" collapsed="false"/>
    <row r="52" customFormat="false" ht="15" hidden="true" customHeight="false" outlineLevel="0" collapsed="false"/>
    <row r="53" customFormat="false" ht="15" hidden="true" customHeight="false" outlineLevel="0" collapsed="false"/>
    <row r="54" customFormat="false" ht="15" hidden="true" customHeight="false" outlineLevel="0" collapsed="false"/>
    <row r="55" customFormat="false" ht="15" hidden="true" customHeight="false" outlineLevel="0" collapsed="false"/>
    <row r="56" customFormat="false" ht="15" hidden="true" customHeight="false" outlineLevel="0" collapsed="false"/>
    <row r="57" customFormat="false" ht="15" hidden="true" customHeight="false" outlineLevel="0" collapsed="false"/>
    <row r="58" customFormat="false" ht="15" hidden="true" customHeight="false" outlineLevel="0" collapsed="false"/>
    <row r="59" customFormat="false" ht="15" hidden="true" customHeight="false" outlineLevel="0" collapsed="false"/>
    <row r="60" customFormat="false" ht="15" hidden="true" customHeight="false" outlineLevel="0" collapsed="false"/>
    <row r="61" customFormat="false" ht="15" hidden="true" customHeight="false" outlineLevel="0" collapsed="false"/>
    <row r="62" customFormat="false" ht="15" hidden="true" customHeight="false" outlineLevel="0" collapsed="false"/>
    <row r="63" customFormat="false" ht="15" hidden="true" customHeight="false" outlineLevel="0" collapsed="false"/>
    <row r="64" customFormat="false" ht="15" hidden="true" customHeight="false" outlineLevel="0" collapsed="false"/>
    <row r="65" customFormat="false" ht="15" hidden="true" customHeight="false" outlineLevel="0" collapsed="false"/>
    <row r="66" customFormat="false" ht="15" hidden="true" customHeight="false" outlineLevel="0" collapsed="false"/>
    <row r="67" customFormat="false" ht="15" hidden="true" customHeight="false" outlineLevel="0" collapsed="false"/>
    <row r="68" customFormat="false" ht="15" hidden="true" customHeight="false" outlineLevel="0" collapsed="false"/>
    <row r="69" customFormat="false" ht="15" hidden="true" customHeight="false" outlineLevel="0" collapsed="false"/>
    <row r="70" customFormat="false" ht="15" hidden="true" customHeight="false" outlineLevel="0" collapsed="false"/>
    <row r="71" customFormat="false" ht="15" hidden="true" customHeight="false" outlineLevel="0" collapsed="false"/>
    <row r="72" customFormat="false" ht="15" hidden="true" customHeight="false" outlineLevel="0" collapsed="false"/>
    <row r="73" customFormat="false" ht="15" hidden="true" customHeight="false" outlineLevel="0" collapsed="false"/>
    <row r="74" customFormat="false" ht="15" hidden="true" customHeight="false" outlineLevel="0" collapsed="false"/>
    <row r="75" customFormat="false" ht="15" hidden="true" customHeight="false" outlineLevel="0" collapsed="false"/>
    <row r="76" customFormat="false" ht="15" hidden="true" customHeight="false" outlineLevel="0" collapsed="false"/>
    <row r="77" customFormat="false" ht="15" hidden="true" customHeight="false" outlineLevel="0" collapsed="false"/>
    <row r="78" customFormat="false" ht="15" hidden="true" customHeight="false" outlineLevel="0" collapsed="false"/>
    <row r="79" customFormat="false" ht="15" hidden="true" customHeight="false" outlineLevel="0" collapsed="false"/>
    <row r="80" customFormat="false" ht="15" hidden="true" customHeight="false" outlineLevel="0" collapsed="false"/>
    <row r="81" customFormat="false" ht="15" hidden="true" customHeight="false" outlineLevel="0" collapsed="false"/>
    <row r="82" customFormat="false" ht="15" hidden="true" customHeight="false" outlineLevel="0" collapsed="false"/>
    <row r="83" customFormat="false" ht="15" hidden="true" customHeight="false" outlineLevel="0" collapsed="false"/>
    <row r="84" customFormat="false" ht="15" hidden="true" customHeight="false" outlineLevel="0" collapsed="false"/>
    <row r="85" customFormat="false" ht="15" hidden="true" customHeight="false" outlineLevel="0" collapsed="false"/>
    <row r="86" customFormat="false" ht="15" hidden="true" customHeight="false" outlineLevel="0" collapsed="false"/>
    <row r="87" customFormat="false" ht="15" hidden="true" customHeight="false" outlineLevel="0" collapsed="false"/>
    <row r="88" customFormat="false" ht="15" hidden="true" customHeight="false" outlineLevel="0" collapsed="false"/>
    <row r="89" customFormat="false" ht="15" hidden="true" customHeight="false" outlineLevel="0" collapsed="false"/>
    <row r="90" customFormat="false" ht="15" hidden="true" customHeight="false" outlineLevel="0" collapsed="false"/>
    <row r="91" customFormat="false" ht="15" hidden="true" customHeight="false" outlineLevel="0" collapsed="false"/>
    <row r="92" customFormat="false" ht="15" hidden="true" customHeight="false" outlineLevel="0" collapsed="false"/>
    <row r="93" customFormat="false" ht="15" hidden="true" customHeight="false" outlineLevel="0" collapsed="false"/>
    <row r="94" customFormat="false" ht="15" hidden="true" customHeight="false" outlineLevel="0" collapsed="false"/>
    <row r="95" customFormat="false" ht="15" hidden="true" customHeight="false" outlineLevel="0" collapsed="false"/>
    <row r="96" customFormat="false" ht="15" hidden="true" customHeight="false" outlineLevel="0" collapsed="false"/>
    <row r="97" customFormat="false" ht="15" hidden="true" customHeight="false" outlineLevel="0" collapsed="false"/>
    <row r="98" customFormat="false" ht="15" hidden="true" customHeight="false" outlineLevel="0" collapsed="false"/>
    <row r="99" customFormat="false" ht="15" hidden="true" customHeight="false" outlineLevel="0" collapsed="false"/>
    <row r="100" customFormat="false" ht="15" hidden="true" customHeight="false" outlineLevel="0" collapsed="false"/>
    <row r="101" customFormat="false" ht="15" hidden="true" customHeight="false" outlineLevel="0" collapsed="false"/>
    <row r="102" customFormat="false" ht="15" hidden="true" customHeight="false" outlineLevel="0" collapsed="false"/>
    <row r="103" customFormat="false" ht="15" hidden="true" customHeight="false" outlineLevel="0" collapsed="false"/>
    <row r="104" customFormat="false" ht="15" hidden="true" customHeight="false" outlineLevel="0" collapsed="false"/>
    <row r="105" customFormat="false" ht="15" hidden="true" customHeight="false" outlineLevel="0" collapsed="false"/>
    <row r="106" customFormat="false" ht="15" hidden="true" customHeight="false" outlineLevel="0" collapsed="false"/>
    <row r="107" customFormat="false" ht="15" hidden="true" customHeight="false" outlineLevel="0" collapsed="false"/>
    <row r="108" customFormat="false" ht="15" hidden="true" customHeight="false" outlineLevel="0" collapsed="false"/>
    <row r="109" customFormat="false" ht="15" hidden="true" customHeight="false" outlineLevel="0" collapsed="false"/>
    <row r="110" customFormat="false" ht="15" hidden="true" customHeight="false" outlineLevel="0" collapsed="false"/>
    <row r="111" customFormat="false" ht="15" hidden="true" customHeight="false" outlineLevel="0" collapsed="false"/>
    <row r="112" customFormat="false" ht="15" hidden="true" customHeight="false" outlineLevel="0" collapsed="false"/>
    <row r="113" customFormat="false" ht="15" hidden="true" customHeight="false" outlineLevel="0" collapsed="false"/>
    <row r="114" customFormat="false" ht="15" hidden="true" customHeight="false" outlineLevel="0" collapsed="false"/>
    <row r="115" customFormat="false" ht="15" hidden="true" customHeight="false" outlineLevel="0" collapsed="false"/>
    <row r="116" customFormat="false" ht="15" hidden="true" customHeight="false" outlineLevel="0" collapsed="false"/>
    <row r="117" customFormat="false" ht="15" hidden="true" customHeight="false" outlineLevel="0" collapsed="false"/>
    <row r="118" customFormat="false" ht="15" hidden="true" customHeight="false" outlineLevel="0" collapsed="false"/>
    <row r="119" customFormat="false" ht="15" hidden="true" customHeight="false" outlineLevel="0" collapsed="false"/>
    <row r="120" customFormat="false" ht="15" hidden="true" customHeight="false" outlineLevel="0" collapsed="false"/>
    <row r="121" customFormat="false" ht="15" hidden="true" customHeight="false" outlineLevel="0" collapsed="false"/>
    <row r="122" customFormat="false" ht="15" hidden="true" customHeight="false" outlineLevel="0" collapsed="false"/>
    <row r="123" customFormat="false" ht="15" hidden="true" customHeight="false" outlineLevel="0" collapsed="false"/>
    <row r="124" customFormat="false" ht="15" hidden="true" customHeight="false" outlineLevel="0" collapsed="false"/>
    <row r="125" customFormat="false" ht="15" hidden="true" customHeight="false" outlineLevel="0" collapsed="false"/>
    <row r="126" customFormat="false" ht="15" hidden="true" customHeight="false" outlineLevel="0" collapsed="false"/>
    <row r="127" customFormat="false" ht="15" hidden="true" customHeight="false" outlineLevel="0" collapsed="false"/>
    <row r="128" customFormat="false" ht="15" hidden="true" customHeight="false" outlineLevel="0" collapsed="false"/>
    <row r="129" customFormat="false" ht="15" hidden="true" customHeight="false" outlineLevel="0" collapsed="false"/>
    <row r="130" customFormat="false" ht="15" hidden="true" customHeight="false" outlineLevel="0" collapsed="false"/>
    <row r="131" customFormat="false" ht="15" hidden="true" customHeight="false" outlineLevel="0" collapsed="false"/>
    <row r="132" customFormat="false" ht="15" hidden="true" customHeight="false" outlineLevel="0" collapsed="false"/>
    <row r="133" customFormat="false" ht="15" hidden="true" customHeight="false" outlineLevel="0" collapsed="false"/>
    <row r="134" customFormat="false" ht="15" hidden="true" customHeight="false" outlineLevel="0" collapsed="false"/>
    <row r="135" customFormat="false" ht="15" hidden="true" customHeight="false" outlineLevel="0" collapsed="false"/>
    <row r="136" customFormat="false" ht="15" hidden="true" customHeight="false" outlineLevel="0" collapsed="false"/>
    <row r="137" customFormat="false" ht="15" hidden="true" customHeight="false" outlineLevel="0" collapsed="false"/>
    <row r="138" customFormat="false" ht="15" hidden="true" customHeight="false" outlineLevel="0" collapsed="false"/>
    <row r="139" customFormat="false" ht="15" hidden="true" customHeight="false" outlineLevel="0" collapsed="false"/>
    <row r="140" customFormat="false" ht="15" hidden="true" customHeight="false" outlineLevel="0" collapsed="false"/>
    <row r="141" customFormat="false" ht="15" hidden="true" customHeight="false" outlineLevel="0" collapsed="false"/>
    <row r="142" customFormat="false" ht="15" hidden="true" customHeight="false" outlineLevel="0" collapsed="false"/>
    <row r="143" customFormat="false" ht="15" hidden="true" customHeight="false" outlineLevel="0" collapsed="false"/>
    <row r="144" customFormat="false" ht="15" hidden="true" customHeight="false" outlineLevel="0" collapsed="false"/>
    <row r="145" customFormat="false" ht="15" hidden="true" customHeight="false" outlineLevel="0" collapsed="false"/>
    <row r="146" customFormat="false" ht="15" hidden="true" customHeight="false" outlineLevel="0" collapsed="false"/>
    <row r="147" customFormat="false" ht="15" hidden="true" customHeight="false" outlineLevel="0" collapsed="false"/>
    <row r="148" customFormat="false" ht="15" hidden="true" customHeight="false" outlineLevel="0" collapsed="false"/>
    <row r="149" customFormat="false" ht="15" hidden="true" customHeight="false" outlineLevel="0" collapsed="false"/>
    <row r="150" customFormat="false" ht="15" hidden="true" customHeight="false" outlineLevel="0" collapsed="false"/>
    <row r="151" customFormat="false" ht="15" hidden="true" customHeight="false" outlineLevel="0" collapsed="false"/>
    <row r="152" customFormat="false" ht="15" hidden="true" customHeight="false" outlineLevel="0" collapsed="false"/>
    <row r="153" customFormat="false" ht="15" hidden="true" customHeight="false" outlineLevel="0" collapsed="false"/>
    <row r="154" customFormat="false" ht="15" hidden="true" customHeight="false" outlineLevel="0" collapsed="false"/>
    <row r="155" customFormat="false" ht="15" hidden="true" customHeight="false" outlineLevel="0" collapsed="false"/>
    <row r="156" customFormat="false" ht="15" hidden="true" customHeight="false" outlineLevel="0" collapsed="false"/>
    <row r="157" customFormat="false" ht="15" hidden="true" customHeight="false" outlineLevel="0" collapsed="false"/>
    <row r="158" customFormat="false" ht="15" hidden="true" customHeight="false" outlineLevel="0" collapsed="false"/>
    <row r="159" customFormat="false" ht="15" hidden="true" customHeight="false" outlineLevel="0" collapsed="false"/>
    <row r="160" customFormat="false" ht="15" hidden="true" customHeight="false" outlineLevel="0" collapsed="false"/>
    <row r="161" customFormat="false" ht="15" hidden="true" customHeight="false" outlineLevel="0" collapsed="false"/>
    <row r="162" customFormat="false" ht="15" hidden="true" customHeight="false" outlineLevel="0" collapsed="false"/>
  </sheetData>
  <mergeCells count="8">
    <mergeCell ref="B2:G4"/>
    <mergeCell ref="B6:C6"/>
    <mergeCell ref="E6:F6"/>
    <mergeCell ref="B14:D14"/>
    <mergeCell ref="B23:D23"/>
    <mergeCell ref="B30:G30"/>
    <mergeCell ref="B32:D32"/>
    <mergeCell ref="B43:G43"/>
  </mergeCells>
  <dataValidations count="1">
    <dataValidation allowBlank="false" error="Selecione um perfil válido." errorStyle="stop" errorTitle="Perfil inválido" operator="between" prompt="Escolha: Conservador, Moderado ou Agressivo" promptTitle="Perfil de Investidor" showDropDown="false" showErrorMessage="false" showInputMessage="false" sqref="C24" type="list">
      <formula1>"Conservador,Moderado,Agressivo"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2026-08-20T16:14:30Z</dcterms:created>
  <dc:creator>openpyxl</dc:creator>
  <dc:description/>
  <dc:language>en-US</dc:language>
  <cp:lastModifiedBy/>
  <dcterms:modified xsi:type="dcterms:W3CDTF">2026-08-20T14:18:07Z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